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ar\Documents\"/>
    </mc:Choice>
  </mc:AlternateContent>
  <xr:revisionPtr revIDLastSave="0" documentId="8_{94710B6E-D989-44AF-8BDC-2FB00F6E67C6}" xr6:coauthVersionLast="47" xr6:coauthVersionMax="47" xr10:uidLastSave="{00000000-0000-0000-0000-000000000000}"/>
  <bookViews>
    <workbookView xWindow="-120" yWindow="-120" windowWidth="20730" windowHeight="11040" firstSheet="1" activeTab="1" xr2:uid="{2DDACD05-CE9F-407A-AF4B-699B651BC910}"/>
  </bookViews>
  <sheets>
    <sheet name=" Salesperson analysis" sheetId="2" r:id="rId1"/>
    <sheet name=" Product analysis" sheetId="3" r:id="rId2"/>
    <sheet name="Month analysis" sheetId="5" r:id="rId3"/>
    <sheet name="Sales Data" sheetId="1" r:id="rId4"/>
    <sheet name="Sales Performance Dashboard" sheetId="4" r:id="rId5"/>
  </sheets>
  <calcPr calcId="191029"/>
  <pivotCaches>
    <pivotCache cacheId="4" r:id="rId6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" i="1"/>
</calcChain>
</file>

<file path=xl/sharedStrings.xml><?xml version="1.0" encoding="utf-8"?>
<sst xmlns="http://schemas.openxmlformats.org/spreadsheetml/2006/main" count="86" uniqueCount="24">
  <si>
    <t xml:space="preserve">Date </t>
  </si>
  <si>
    <t>Salesperson</t>
  </si>
  <si>
    <t>Region</t>
  </si>
  <si>
    <t xml:space="preserve">Revenue </t>
  </si>
  <si>
    <t>Aisha</t>
  </si>
  <si>
    <t>South</t>
  </si>
  <si>
    <t>Laptop</t>
  </si>
  <si>
    <t>Daniel</t>
  </si>
  <si>
    <t>North</t>
  </si>
  <si>
    <t>Tablet</t>
  </si>
  <si>
    <t>Samira</t>
  </si>
  <si>
    <t>East</t>
  </si>
  <si>
    <t>Phone</t>
  </si>
  <si>
    <t>James</t>
  </si>
  <si>
    <t>West</t>
  </si>
  <si>
    <t>Product</t>
  </si>
  <si>
    <t>Units sold</t>
  </si>
  <si>
    <t>Price per unit</t>
  </si>
  <si>
    <t>Month</t>
  </si>
  <si>
    <t>Row Labels</t>
  </si>
  <si>
    <t>Grand Total</t>
  </si>
  <si>
    <t xml:space="preserve">Sum of Revenue </t>
  </si>
  <si>
    <t>Jan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</si>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</sst>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3" x14ac:knownFonts="1">
    <font>
      <sz val="11"/>
      <color theme="1"/>
      <name val="Aptos Narrow"/>
      <family val="2"/>
      <scheme val="minor"/>
    </font>
    <font>
      <sz val="12"/>
      <color rgb="FF222222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164" fontId="0" fillId="0" borderId="0" xfId="0" applyNumberFormat="1"/>
    <xf numFmtId="14" fontId="0" fillId="0" borderId="0" xfId="0" applyNumberFormat="1" applyAlignment="1">
      <alignment wrapText="1"/>
    </xf>
    <xf numFmtId="14" fontId="0" fillId="0" borderId="0" xfId="0" applyNumberFormat="1"/>
    <xf numFmtId="14" fontId="1" fillId="0" borderId="0" xfId="0" applyNumberFormat="1" applyFont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numFmt numFmtId="164" formatCode="_-[$£-809]* #,##0.00_-;\-[$£-809]* #,##0.00_-;_-[$£-809]* &quot;-&quot;??_-;_-@_-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Dashboard.xlsx] Salesperson analysis!PivotTable1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Salesperson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Salesperson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Salesperson analysis'!$A$4:$A$8</c:f>
              <c:strCache>
                <c:ptCount val="4"/>
                <c:pt idx="0">
                  <c:v>Aisha</c:v>
                </c:pt>
                <c:pt idx="1">
                  <c:v>Daniel</c:v>
                </c:pt>
                <c:pt idx="2">
                  <c:v>James</c:v>
                </c:pt>
                <c:pt idx="3">
                  <c:v>Samira</c:v>
                </c:pt>
              </c:strCache>
            </c:strRef>
          </c:cat>
          <c:val>
            <c:numRef>
              <c:f>' Salesperson analysis'!$B$4:$B$8</c:f>
              <c:numCache>
                <c:formatCode>_-[$£-809]* #,##0.00_-;\-[$£-809]* #,##0.00_-;_-[$£-809]* "-"??_-;_-@_-</c:formatCode>
                <c:ptCount val="4"/>
                <c:pt idx="0">
                  <c:v>13300</c:v>
                </c:pt>
                <c:pt idx="1">
                  <c:v>11100</c:v>
                </c:pt>
                <c:pt idx="2">
                  <c:v>11500</c:v>
                </c:pt>
                <c:pt idx="3">
                  <c:v>19600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E8-4666-9E47-CA33DF3C4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7683120"/>
        <c:axId val="1627684560"/>
      </c:barChart>
      <c:catAx>
        <c:axId val="162768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684560"/>
        <c:crosses val="autoZero"/>
        <c:auto val="1"/>
        <c:lblAlgn val="ctr"/>
        <c:lblOffset val="100"/>
        <c:noMultiLvlLbl val="0"/>
      </c:catAx>
      <c:valAx>
        <c:axId val="162768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68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Dashboard.xlsx] Product analysis!PivotTable1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</a:t>
            </a:r>
            <a:r>
              <a:rPr lang="en-GB" baseline="0"/>
              <a:t> by Project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Product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Product analysis'!$A$4:$A$7</c:f>
              <c:strCache>
                <c:ptCount val="3"/>
                <c:pt idx="0">
                  <c:v>Laptop</c:v>
                </c:pt>
                <c:pt idx="1">
                  <c:v>Phone</c:v>
                </c:pt>
                <c:pt idx="2">
                  <c:v>Tablet</c:v>
                </c:pt>
              </c:strCache>
            </c:strRef>
          </c:cat>
          <c:val>
            <c:numRef>
              <c:f>' Product analysis'!$B$4:$B$7</c:f>
              <c:numCache>
                <c:formatCode>_-[$£-809]* #,##0.00_-;\-[$£-809]* #,##0.00_-;_-[$£-809]* "-"??_-;_-@_-</c:formatCode>
                <c:ptCount val="3"/>
                <c:pt idx="0">
                  <c:v>16100</c:v>
                </c:pt>
                <c:pt idx="1">
                  <c:v>25500</c:v>
                </c:pt>
                <c:pt idx="2">
                  <c:v>13900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3D-42AC-BEE5-7F93AB024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2080879"/>
        <c:axId val="622087119"/>
      </c:barChart>
      <c:catAx>
        <c:axId val="62208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087119"/>
        <c:crosses val="autoZero"/>
        <c:auto val="1"/>
        <c:lblAlgn val="ctr"/>
        <c:lblOffset val="100"/>
        <c:noMultiLvlLbl val="0"/>
      </c:catAx>
      <c:valAx>
        <c:axId val="62208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08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Dashboard.xlsx]Month analysis!PivotTable2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</a:t>
            </a:r>
            <a:r>
              <a:rPr lang="en-GB" baseline="0"/>
              <a:t> by Month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 analysis'!$A$4:$A$6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'Month analysis'!$B$4:$B$6</c:f>
              <c:numCache>
                <c:formatCode>_-[$£-809]* #,##0.00_-;\-[$£-809]* #,##0.00_-;_-[$£-809]* "-"??_-;_-@_-</c:formatCode>
                <c:ptCount val="2"/>
                <c:pt idx="0">
                  <c:v>29000</c:v>
                </c:pt>
                <c:pt idx="1">
                  <c:v>26500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F7-46C7-86DE-112C79194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2105359"/>
        <c:axId val="622122159"/>
      </c:barChart>
      <c:catAx>
        <c:axId val="62210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122159"/>
        <c:crosses val="autoZero"/>
        <c:auto val="1"/>
        <c:lblAlgn val="ctr"/>
        <c:lblOffset val="100"/>
        <c:noMultiLvlLbl val="0"/>
      </c:catAx>
      <c:valAx>
        <c:axId val="62212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10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Dashboard.xlsx] Salesperson analysis!PivotTable1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Salesperson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Salesperson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Salesperson analysis'!$A$4:$A$8</c:f>
              <c:strCache>
                <c:ptCount val="4"/>
                <c:pt idx="0">
                  <c:v>Aisha</c:v>
                </c:pt>
                <c:pt idx="1">
                  <c:v>Daniel</c:v>
                </c:pt>
                <c:pt idx="2">
                  <c:v>James</c:v>
                </c:pt>
                <c:pt idx="3">
                  <c:v>Samira</c:v>
                </c:pt>
              </c:strCache>
            </c:strRef>
          </c:cat>
          <c:val>
            <c:numRef>
              <c:f>' Salesperson analysis'!$B$4:$B$8</c:f>
              <c:numCache>
                <c:formatCode>_-[$£-809]* #,##0.00_-;\-[$£-809]* #,##0.00_-;_-[$£-809]* "-"??_-;_-@_-</c:formatCode>
                <c:ptCount val="4"/>
                <c:pt idx="0">
                  <c:v>13300</c:v>
                </c:pt>
                <c:pt idx="1">
                  <c:v>11100</c:v>
                </c:pt>
                <c:pt idx="2">
                  <c:v>11500</c:v>
                </c:pt>
                <c:pt idx="3">
                  <c:v>19600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A-41D2-950D-869F6B56E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7683120"/>
        <c:axId val="1627684560"/>
      </c:barChart>
      <c:catAx>
        <c:axId val="162768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684560"/>
        <c:crosses val="autoZero"/>
        <c:auto val="1"/>
        <c:lblAlgn val="ctr"/>
        <c:lblOffset val="100"/>
        <c:noMultiLvlLbl val="0"/>
      </c:catAx>
      <c:valAx>
        <c:axId val="162768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68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Dashboard.xlsx] Product analysis!PivotTable1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</a:t>
            </a:r>
            <a:r>
              <a:rPr lang="en-GB" baseline="0"/>
              <a:t> by Project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Product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Product analysis'!$A$4:$A$7</c:f>
              <c:strCache>
                <c:ptCount val="3"/>
                <c:pt idx="0">
                  <c:v>Laptop</c:v>
                </c:pt>
                <c:pt idx="1">
                  <c:v>Phone</c:v>
                </c:pt>
                <c:pt idx="2">
                  <c:v>Tablet</c:v>
                </c:pt>
              </c:strCache>
            </c:strRef>
          </c:cat>
          <c:val>
            <c:numRef>
              <c:f>' Product analysis'!$B$4:$B$7</c:f>
              <c:numCache>
                <c:formatCode>_-[$£-809]* #,##0.00_-;\-[$£-809]* #,##0.00_-;_-[$£-809]* "-"??_-;_-@_-</c:formatCode>
                <c:ptCount val="3"/>
                <c:pt idx="0">
                  <c:v>16100</c:v>
                </c:pt>
                <c:pt idx="1">
                  <c:v>25500</c:v>
                </c:pt>
                <c:pt idx="2">
                  <c:v>13900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66-4D2D-AC56-F76493834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2080879"/>
        <c:axId val="622087119"/>
      </c:barChart>
      <c:catAx>
        <c:axId val="62208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087119"/>
        <c:crosses val="autoZero"/>
        <c:auto val="1"/>
        <c:lblAlgn val="ctr"/>
        <c:lblOffset val="100"/>
        <c:noMultiLvlLbl val="0"/>
      </c:catAx>
      <c:valAx>
        <c:axId val="62208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08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Dashboard.xlsx]Month analysis!PivotTable2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</a:t>
            </a:r>
            <a:r>
              <a:rPr lang="en-GB" baseline="0"/>
              <a:t> by Month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 analysis'!$A$4:$A$6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'Month analysis'!$B$4:$B$6</c:f>
              <c:numCache>
                <c:formatCode>_-[$£-809]* #,##0.00_-;\-[$£-809]* #,##0.00_-;_-[$£-809]* "-"??_-;_-@_-</c:formatCode>
                <c:ptCount val="2"/>
                <c:pt idx="0">
                  <c:v>29000</c:v>
                </c:pt>
                <c:pt idx="1">
                  <c:v>26500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27-4171-B0CC-1639350CE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2105359"/>
        <c:axId val="622122159"/>
      </c:barChart>
      <c:catAx>
        <c:axId val="62210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122159"/>
        <c:crosses val="autoZero"/>
        <c:auto val="1"/>
        <c:lblAlgn val="ctr"/>
        <c:lblOffset val="100"/>
        <c:noMultiLvlLbl val="0"/>
      </c:catAx>
      <c:valAx>
        <c:axId val="62212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10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157162</xdr:colOff>
      <xdr:row>3</xdr:row>
      <xdr:rowOff>90487</xdr:rowOff>
    </xdr:from>
    <xdr:to>
      <xdr:col>10</xdr:col>
      <xdr:colOff>461962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F6CEEC-5E29-787C-053A-6CDBCB9EA3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100012</xdr:colOff>
      <xdr:row>3</xdr:row>
      <xdr:rowOff>42862</xdr:rowOff>
    </xdr:from>
    <xdr:to>
      <xdr:col>9</xdr:col>
      <xdr:colOff>404812</xdr:colOff>
      <xdr:row>17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4DA04F-6534-44BE-E598-D23497989B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90487</xdr:colOff>
      <xdr:row>4</xdr:row>
      <xdr:rowOff>166687</xdr:rowOff>
    </xdr:from>
    <xdr:to>
      <xdr:col>9</xdr:col>
      <xdr:colOff>395287</xdr:colOff>
      <xdr:row>19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519856-B602-E58F-E3BA-9835FAA154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058B7B-EAB4-40B8-A8A8-82FE985820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15</xdr:row>
      <xdr:rowOff>171450</xdr:rowOff>
    </xdr:from>
    <xdr:to>
      <xdr:col>7</xdr:col>
      <xdr:colOff>323850</xdr:colOff>
      <xdr:row>30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27C500-D28D-4BFD-8473-3AB5008C32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7</xdr:col>
      <xdr:colOff>304800</xdr:colOff>
      <xdr:row>46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48801D-5A7E-410B-8778-92778292D3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sa Rahman" refreshedDate="46093.884592245369" createdVersion="8" refreshedVersion="8" minRefreshableVersion="3" recordCount="20" xr:uid="{CBB17618-014E-43A1-9C2F-8DC6BED3BB21}">
  <cacheSource type="worksheet">
    <worksheetSource name="Table1"/>
  </cacheSource>
  <cacheFields count="8">
    <cacheField name="Date " numFmtId="14">
      <sharedItems containsSemiMixedTypes="0" containsNonDate="0" containsDate="1" containsString="0" minDate="2026-01-01T00:00:00" maxDate="2026-02-23T00:00:00"/>
    </cacheField>
    <cacheField name="Month" numFmtId="14">
      <sharedItems count="2">
        <s v="Jan"/>
        <s v="Feb"/>
      </sharedItems>
    </cacheField>
    <cacheField name="Salesperson" numFmtId="0">
      <sharedItems count="4">
        <s v="Aisha"/>
        <s v="Daniel"/>
        <s v="Samira"/>
        <s v="James"/>
      </sharedItems>
    </cacheField>
    <cacheField name="Region" numFmtId="0">
      <sharedItems/>
    </cacheField>
    <cacheField name="Product" numFmtId="0">
      <sharedItems count="3">
        <s v="Laptop"/>
        <s v="Tablet"/>
        <s v="Phone"/>
      </sharedItems>
    </cacheField>
    <cacheField name="Units sold" numFmtId="0">
      <sharedItems containsSemiMixedTypes="0" containsString="0" containsNumber="1" containsInteger="1" minValue="2" maxValue="10"/>
    </cacheField>
    <cacheField name="Price per unit" numFmtId="0">
      <sharedItems containsSemiMixedTypes="0" containsString="0" containsNumber="1" containsInteger="1" minValue="300" maxValue="800"/>
    </cacheField>
    <cacheField name="Revenue " numFmtId="164">
      <sharedItems containsSemiMixedTypes="0" containsString="0" containsNumber="1" containsInteger="1" minValue="900" maxValue="6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d v="2026-01-01T00:00:00"/>
    <x v="0"/>
    <x v="0"/>
    <s v="South"/>
    <x v="0"/>
    <n v="3"/>
    <n v="700"/>
    <n v="2100"/>
  </r>
  <r>
    <d v="2026-01-03T00:00:00"/>
    <x v="0"/>
    <x v="1"/>
    <s v="North"/>
    <x v="1"/>
    <n v="5"/>
    <n v="300"/>
    <n v="1500"/>
  </r>
  <r>
    <d v="2026-01-05T00:00:00"/>
    <x v="0"/>
    <x v="2"/>
    <s v="East"/>
    <x v="2"/>
    <n v="8"/>
    <n v="500"/>
    <n v="4000"/>
  </r>
  <r>
    <d v="2026-01-08T00:00:00"/>
    <x v="0"/>
    <x v="3"/>
    <s v="West"/>
    <x v="0"/>
    <n v="2"/>
    <n v="700"/>
    <n v="1400"/>
  </r>
  <r>
    <d v="2026-01-10T00:00:00"/>
    <x v="0"/>
    <x v="0"/>
    <s v="South"/>
    <x v="2"/>
    <n v="6"/>
    <n v="500"/>
    <n v="3000"/>
  </r>
  <r>
    <d v="2026-01-12T00:00:00"/>
    <x v="0"/>
    <x v="1"/>
    <s v="North"/>
    <x v="0"/>
    <n v="4"/>
    <n v="700"/>
    <n v="2800"/>
  </r>
  <r>
    <d v="2026-01-15T00:00:00"/>
    <x v="0"/>
    <x v="2"/>
    <s v="East"/>
    <x v="1"/>
    <n v="7"/>
    <n v="300"/>
    <n v="2100"/>
  </r>
  <r>
    <d v="2026-01-18T00:00:00"/>
    <x v="0"/>
    <x v="3"/>
    <s v="West"/>
    <x v="2"/>
    <n v="5"/>
    <n v="500"/>
    <n v="2500"/>
  </r>
  <r>
    <d v="2026-01-20T00:00:00"/>
    <x v="0"/>
    <x v="0"/>
    <s v="South"/>
    <x v="1"/>
    <n v="4"/>
    <n v="300"/>
    <n v="1200"/>
  </r>
  <r>
    <d v="2026-01-22T00:00:00"/>
    <x v="0"/>
    <x v="1"/>
    <s v="North"/>
    <x v="2"/>
    <n v="9"/>
    <n v="500"/>
    <n v="4500"/>
  </r>
  <r>
    <d v="2026-01-25T00:00:00"/>
    <x v="0"/>
    <x v="2"/>
    <s v="East"/>
    <x v="0"/>
    <n v="3"/>
    <n v="700"/>
    <n v="2100"/>
  </r>
  <r>
    <d v="2026-01-28T00:00:00"/>
    <x v="0"/>
    <x v="3"/>
    <s v="West"/>
    <x v="1"/>
    <n v="6"/>
    <n v="300"/>
    <n v="1800"/>
  </r>
  <r>
    <d v="2026-02-02T00:00:00"/>
    <x v="1"/>
    <x v="0"/>
    <s v="South"/>
    <x v="0"/>
    <n v="5"/>
    <n v="700"/>
    <n v="3500"/>
  </r>
  <r>
    <d v="2026-02-04T00:00:00"/>
    <x v="1"/>
    <x v="1"/>
    <s v="North"/>
    <x v="1"/>
    <n v="3"/>
    <n v="300"/>
    <n v="900"/>
  </r>
  <r>
    <d v="2026-02-07T00:00:00"/>
    <x v="1"/>
    <x v="2"/>
    <s v="East"/>
    <x v="2"/>
    <n v="10"/>
    <n v="500"/>
    <n v="5000"/>
  </r>
  <r>
    <d v="2026-02-10T00:00:00"/>
    <x v="1"/>
    <x v="3"/>
    <s v="West"/>
    <x v="0"/>
    <n v="4"/>
    <n v="700"/>
    <n v="2800"/>
  </r>
  <r>
    <d v="2026-02-13T00:00:00"/>
    <x v="1"/>
    <x v="0"/>
    <s v="South"/>
    <x v="2"/>
    <n v="7"/>
    <n v="500"/>
    <n v="3500"/>
  </r>
  <r>
    <d v="2026-02-16T00:00:00"/>
    <x v="1"/>
    <x v="1"/>
    <s v="North"/>
    <x v="0"/>
    <n v="2"/>
    <n v="700"/>
    <n v="1400"/>
  </r>
  <r>
    <d v="2026-02-19T00:00:00"/>
    <x v="1"/>
    <x v="2"/>
    <s v="East"/>
    <x v="1"/>
    <n v="8"/>
    <n v="800"/>
    <n v="6400"/>
  </r>
  <r>
    <d v="2026-02-22T00:00:00"/>
    <x v="1"/>
    <x v="3"/>
    <s v="West"/>
    <x v="2"/>
    <n v="6"/>
    <n v="500"/>
    <n v="3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2229E9-9CBE-4081-9B51-73A4E720D3D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8">
    <pivotField numFmtId="14"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dataField="1" numFmtId="164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 " fld="7" baseField="0" baseItem="0" numFmtId="164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67CC30-5960-4654-8874-57A9836F7F0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8">
    <pivotField numFmtId="14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dataField="1" numFmtId="164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 " fld="7" baseField="0" baseItem="0" numFmtId="164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3F1CBC-7CDE-464F-88FA-3A3C36420107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8">
    <pivotField numFmtId="1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numFmtId="164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Revenue " fld="7" baseField="0" baseItem="0" numFmtId="164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F297C7-E990-4A3A-A1B5-0239CD313D27}" name="Table1" displayName="Table1" ref="A1:H21" totalsRowShown="0">
  <autoFilter ref="A1:H21" xr:uid="{D3F297C7-E990-4A3A-A1B5-0239CD313D27}"/>
  <tableColumns count="8">
    <tableColumn id="1" xr3:uid="{08AE8608-B436-4157-8A6D-C765CF7BC56F}" name="Date "/>
    <tableColumn id="9" xr3:uid="{3842E9FD-BF8E-48B3-8EB2-210FD3214F8C}" name="Month" dataDxfId="2">
      <calculatedColumnFormula>TEXT(A2,"mmm")</calculatedColumnFormula>
    </tableColumn>
    <tableColumn id="8" xr3:uid="{0B9E31DD-7C16-4DEB-8A0F-74FDFA37D8C7}" name="Salesperson" dataDxfId="1"/>
    <tableColumn id="2" xr3:uid="{2A86F20D-98FA-4D92-AA17-6BF68CDEF205}" name="Region"/>
    <tableColumn id="3" xr3:uid="{C1A410D1-C9DD-47C1-BEF9-54C872D3599E}" name="Product"/>
    <tableColumn id="4" xr3:uid="{706FA6F4-3920-44DA-8B3F-2F7E1623BF27}" name="Units sold"/>
    <tableColumn id="5" xr3:uid="{D257DB4F-B05A-437A-8EA4-6922CA35C84B}" name="Price per unit">
      <calculatedColumnFormula>E2*F2</calculatedColumnFormula>
    </tableColumn>
    <tableColumn id="7" xr3:uid="{5EBDCB9F-5135-43E6-9CC6-B06DE07A098A}" name="Revenue " dataDxfId="0">
      <calculatedColumnFormula>F2*G2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3215D-A8DF-4C08-95A5-53F59585FE44}">
  <dimension ref="A3:B8"/>
  <sheetViews>
    <sheetView workbookViewId="0">
      <selection activeCell="M12" sqref="M12"/>
    </sheetView>
  </sheetViews>
  <sheetFormatPr defaultRowHeight="15" x14ac:dyDescent="0.25"/>
  <cols>
    <col min="1" max="1" width="13.42578125" bestFit="1" customWidth="1"/>
    <col min="2" max="2" width="16.28515625" bestFit="1" customWidth="1"/>
  </cols>
  <sheetData>
    <row r="3" spans="1:2" x14ac:dyDescent="0.25">
      <c r="A3" s="8" t="s">
        <v>19</v>
      </c>
      <c r="B3" t="s">
        <v>21</v>
      </c>
    </row>
    <row r="4" spans="1:2" x14ac:dyDescent="0.25">
      <c r="A4" s="9" t="s">
        <v>4</v>
      </c>
      <c r="B4" s="3">
        <v>13300</v>
      </c>
    </row>
    <row r="5" spans="1:2" x14ac:dyDescent="0.25">
      <c r="A5" s="9" t="s">
        <v>7</v>
      </c>
      <c r="B5" s="3">
        <v>11100</v>
      </c>
    </row>
    <row r="6" spans="1:2" x14ac:dyDescent="0.25">
      <c r="A6" s="9" t="s">
        <v>13</v>
      </c>
      <c r="B6" s="3">
        <v>11500</v>
      </c>
    </row>
    <row r="7" spans="1:2" x14ac:dyDescent="0.25">
      <c r="A7" s="9" t="s">
        <v>10</v>
      </c>
      <c r="B7" s="3">
        <v>19600</v>
      </c>
    </row>
    <row r="8" spans="1:2" x14ac:dyDescent="0.25">
      <c r="A8" s="9" t="s">
        <v>20</v>
      </c>
      <c r="B8" s="3">
        <v>55500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A26A8-707E-4907-A7BB-BE01CB1D497E}">
  <dimension ref="A3:B7"/>
  <sheetViews>
    <sheetView tabSelected="1" workbookViewId="0">
      <selection activeCell="J6" sqref="J6"/>
    </sheetView>
  </sheetViews>
  <sheetFormatPr defaultRowHeight="15" x14ac:dyDescent="0.25"/>
  <cols>
    <col min="1" max="1" width="13.42578125" bestFit="1" customWidth="1"/>
    <col min="2" max="2" width="16.28515625" bestFit="1" customWidth="1"/>
  </cols>
  <sheetData>
    <row r="3" spans="1:2" x14ac:dyDescent="0.25">
      <c r="A3" s="8" t="s">
        <v>19</v>
      </c>
      <c r="B3" t="s">
        <v>21</v>
      </c>
    </row>
    <row r="4" spans="1:2" x14ac:dyDescent="0.25">
      <c r="A4" s="9" t="s">
        <v>6</v>
      </c>
      <c r="B4" s="3">
        <v>16100</v>
      </c>
    </row>
    <row r="5" spans="1:2" x14ac:dyDescent="0.25">
      <c r="A5" s="9" t="s">
        <v>12</v>
      </c>
      <c r="B5" s="3">
        <v>25500</v>
      </c>
    </row>
    <row r="6" spans="1:2" x14ac:dyDescent="0.25">
      <c r="A6" s="9" t="s">
        <v>9</v>
      </c>
      <c r="B6" s="3">
        <v>13900</v>
      </c>
    </row>
    <row r="7" spans="1:2" x14ac:dyDescent="0.25">
      <c r="A7" s="9" t="s">
        <v>20</v>
      </c>
      <c r="B7" s="3">
        <v>55500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1CD6E-ECAE-4009-B3A0-5BD236B466AD}">
  <dimension ref="A3:B6"/>
  <sheetViews>
    <sheetView workbookViewId="0">
      <selection activeCell="H4" sqref="H4"/>
    </sheetView>
  </sheetViews>
  <sheetFormatPr defaultRowHeight="15" x14ac:dyDescent="0.25"/>
  <cols>
    <col min="1" max="1" width="13.42578125" bestFit="1" customWidth="1"/>
    <col min="2" max="2" width="16.28515625" bestFit="1" customWidth="1"/>
  </cols>
  <sheetData>
    <row r="3" spans="1:2" x14ac:dyDescent="0.25">
      <c r="A3" s="8" t="s">
        <v>19</v>
      </c>
      <c r="B3" t="s">
        <v>21</v>
      </c>
    </row>
    <row r="4" spans="1:2" x14ac:dyDescent="0.25">
      <c r="A4" s="9" t="s">
        <v>22</v>
      </c>
      <c r="B4" s="3">
        <v>29000</v>
      </c>
    </row>
    <row r="5" spans="1:2" x14ac:dyDescent="0.25">
      <c r="A5" s="9" t="s">
        <v>23</v>
      </c>
      <c r="B5" s="3">
        <v>26500</v>
      </c>
    </row>
    <row r="6" spans="1:2" x14ac:dyDescent="0.25">
      <c r="A6" s="9" t="s">
        <v>20</v>
      </c>
      <c r="B6" s="3">
        <v>55500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3545C-787B-436E-B7CD-328A4E66C752}">
  <dimension ref="A1:H21"/>
  <sheetViews>
    <sheetView workbookViewId="0">
      <selection activeCell="C2" sqref="C2"/>
    </sheetView>
  </sheetViews>
  <sheetFormatPr defaultRowHeight="15" x14ac:dyDescent="0.25"/>
  <cols>
    <col min="1" max="1" width="12.7109375" bestFit="1" customWidth="1"/>
    <col min="2" max="2" width="12.7109375" customWidth="1"/>
    <col min="3" max="4" width="14.42578125" bestFit="1" customWidth="1"/>
    <col min="5" max="5" width="9.42578125" customWidth="1"/>
    <col min="6" max="6" width="12.28515625" bestFit="1" customWidth="1"/>
    <col min="7" max="7" width="15.42578125" bestFit="1" customWidth="1"/>
    <col min="8" max="8" width="11.5703125" style="3" customWidth="1"/>
  </cols>
  <sheetData>
    <row r="1" spans="1:8" x14ac:dyDescent="0.25">
      <c r="A1" t="s">
        <v>0</v>
      </c>
      <c r="B1" t="s">
        <v>18</v>
      </c>
      <c r="C1" t="s">
        <v>1</v>
      </c>
      <c r="D1" t="s">
        <v>2</v>
      </c>
      <c r="E1" t="s">
        <v>15</v>
      </c>
      <c r="F1" t="s">
        <v>16</v>
      </c>
      <c r="G1" t="s">
        <v>17</v>
      </c>
      <c r="H1" s="3" t="s">
        <v>3</v>
      </c>
    </row>
    <row r="2" spans="1:8" x14ac:dyDescent="0.25">
      <c r="A2" s="4">
        <v>46023</v>
      </c>
      <c r="B2" s="4" t="str">
        <f t="shared" ref="B2:B21" si="0">TEXT(A2,"mmm")</f>
        <v>Jan</v>
      </c>
      <c r="C2" s="1" t="s">
        <v>4</v>
      </c>
      <c r="D2" t="s">
        <v>5</v>
      </c>
      <c r="E2" t="s">
        <v>6</v>
      </c>
      <c r="F2">
        <v>3</v>
      </c>
      <c r="G2">
        <v>700</v>
      </c>
      <c r="H2" s="3">
        <f>F2*G2</f>
        <v>2100</v>
      </c>
    </row>
    <row r="3" spans="1:8" x14ac:dyDescent="0.25">
      <c r="A3" s="5">
        <v>46025</v>
      </c>
      <c r="B3" s="4" t="str">
        <f t="shared" si="0"/>
        <v>Jan</v>
      </c>
      <c r="C3" t="s">
        <v>7</v>
      </c>
      <c r="D3" t="s">
        <v>8</v>
      </c>
      <c r="E3" t="s">
        <v>9</v>
      </c>
      <c r="F3">
        <v>5</v>
      </c>
      <c r="G3">
        <v>300</v>
      </c>
      <c r="H3" s="3">
        <f t="shared" ref="H3:H21" si="1">F3*G3</f>
        <v>1500</v>
      </c>
    </row>
    <row r="4" spans="1:8" x14ac:dyDescent="0.25">
      <c r="A4" s="5">
        <v>46027</v>
      </c>
      <c r="B4" s="4" t="str">
        <f t="shared" si="0"/>
        <v>Jan</v>
      </c>
      <c r="C4" t="s">
        <v>10</v>
      </c>
      <c r="D4" t="s">
        <v>11</v>
      </c>
      <c r="E4" t="s">
        <v>12</v>
      </c>
      <c r="F4">
        <v>8</v>
      </c>
      <c r="G4">
        <v>500</v>
      </c>
      <c r="H4" s="3">
        <f t="shared" si="1"/>
        <v>4000</v>
      </c>
    </row>
    <row r="5" spans="1:8" x14ac:dyDescent="0.25">
      <c r="A5" s="5">
        <v>46030</v>
      </c>
      <c r="B5" s="4" t="str">
        <f t="shared" si="0"/>
        <v>Jan</v>
      </c>
      <c r="C5" t="s">
        <v>13</v>
      </c>
      <c r="D5" t="s">
        <v>14</v>
      </c>
      <c r="E5" t="s">
        <v>6</v>
      </c>
      <c r="F5">
        <v>2</v>
      </c>
      <c r="G5">
        <v>700</v>
      </c>
      <c r="H5" s="3">
        <f t="shared" si="1"/>
        <v>1400</v>
      </c>
    </row>
    <row r="6" spans="1:8" x14ac:dyDescent="0.25">
      <c r="A6" s="5">
        <v>46032</v>
      </c>
      <c r="B6" s="4" t="str">
        <f t="shared" si="0"/>
        <v>Jan</v>
      </c>
      <c r="C6" t="s">
        <v>4</v>
      </c>
      <c r="D6" t="s">
        <v>5</v>
      </c>
      <c r="E6" t="s">
        <v>12</v>
      </c>
      <c r="F6">
        <v>6</v>
      </c>
      <c r="G6">
        <v>500</v>
      </c>
      <c r="H6" s="3">
        <f t="shared" si="1"/>
        <v>3000</v>
      </c>
    </row>
    <row r="7" spans="1:8" x14ac:dyDescent="0.25">
      <c r="A7" s="5">
        <v>46034</v>
      </c>
      <c r="B7" s="4" t="str">
        <f t="shared" si="0"/>
        <v>Jan</v>
      </c>
      <c r="C7" t="s">
        <v>7</v>
      </c>
      <c r="D7" t="s">
        <v>8</v>
      </c>
      <c r="E7" t="s">
        <v>6</v>
      </c>
      <c r="F7">
        <v>4</v>
      </c>
      <c r="G7">
        <v>700</v>
      </c>
      <c r="H7" s="3">
        <f t="shared" si="1"/>
        <v>2800</v>
      </c>
    </row>
    <row r="8" spans="1:8" x14ac:dyDescent="0.25">
      <c r="A8" s="5">
        <v>46037</v>
      </c>
      <c r="B8" s="4" t="str">
        <f t="shared" si="0"/>
        <v>Jan</v>
      </c>
      <c r="C8" t="s">
        <v>10</v>
      </c>
      <c r="D8" t="s">
        <v>11</v>
      </c>
      <c r="E8" t="s">
        <v>9</v>
      </c>
      <c r="F8">
        <v>7</v>
      </c>
      <c r="G8">
        <v>300</v>
      </c>
      <c r="H8" s="3">
        <f t="shared" si="1"/>
        <v>2100</v>
      </c>
    </row>
    <row r="9" spans="1:8" x14ac:dyDescent="0.25">
      <c r="A9" s="5">
        <v>46040</v>
      </c>
      <c r="B9" s="4" t="str">
        <f t="shared" si="0"/>
        <v>Jan</v>
      </c>
      <c r="C9" t="s">
        <v>13</v>
      </c>
      <c r="D9" t="s">
        <v>14</v>
      </c>
      <c r="E9" t="s">
        <v>12</v>
      </c>
      <c r="F9">
        <v>5</v>
      </c>
      <c r="G9">
        <v>500</v>
      </c>
      <c r="H9" s="3">
        <f t="shared" si="1"/>
        <v>2500</v>
      </c>
    </row>
    <row r="10" spans="1:8" x14ac:dyDescent="0.25">
      <c r="A10" s="5">
        <v>46042</v>
      </c>
      <c r="B10" s="4" t="str">
        <f t="shared" si="0"/>
        <v>Jan</v>
      </c>
      <c r="C10" t="s">
        <v>4</v>
      </c>
      <c r="D10" t="s">
        <v>5</v>
      </c>
      <c r="E10" t="s">
        <v>9</v>
      </c>
      <c r="F10">
        <v>4</v>
      </c>
      <c r="G10">
        <v>300</v>
      </c>
      <c r="H10" s="3">
        <f t="shared" si="1"/>
        <v>1200</v>
      </c>
    </row>
    <row r="11" spans="1:8" x14ac:dyDescent="0.25">
      <c r="A11" s="5">
        <v>46044</v>
      </c>
      <c r="B11" s="4" t="str">
        <f t="shared" si="0"/>
        <v>Jan</v>
      </c>
      <c r="C11" t="s">
        <v>7</v>
      </c>
      <c r="D11" t="s">
        <v>8</v>
      </c>
      <c r="E11" t="s">
        <v>12</v>
      </c>
      <c r="F11">
        <v>9</v>
      </c>
      <c r="G11">
        <v>500</v>
      </c>
      <c r="H11" s="3">
        <f t="shared" si="1"/>
        <v>4500</v>
      </c>
    </row>
    <row r="12" spans="1:8" x14ac:dyDescent="0.25">
      <c r="A12" s="5">
        <v>46047</v>
      </c>
      <c r="B12" s="4" t="str">
        <f t="shared" si="0"/>
        <v>Jan</v>
      </c>
      <c r="C12" t="s">
        <v>10</v>
      </c>
      <c r="D12" t="s">
        <v>11</v>
      </c>
      <c r="E12" t="s">
        <v>6</v>
      </c>
      <c r="F12">
        <v>3</v>
      </c>
      <c r="G12">
        <v>700</v>
      </c>
      <c r="H12" s="3">
        <f t="shared" si="1"/>
        <v>2100</v>
      </c>
    </row>
    <row r="13" spans="1:8" x14ac:dyDescent="0.25">
      <c r="A13" s="5">
        <v>46050</v>
      </c>
      <c r="B13" s="4" t="str">
        <f t="shared" si="0"/>
        <v>Jan</v>
      </c>
      <c r="C13" t="s">
        <v>13</v>
      </c>
      <c r="D13" t="s">
        <v>14</v>
      </c>
      <c r="E13" t="s">
        <v>9</v>
      </c>
      <c r="F13">
        <v>6</v>
      </c>
      <c r="G13">
        <v>300</v>
      </c>
      <c r="H13" s="3">
        <f t="shared" si="1"/>
        <v>1800</v>
      </c>
    </row>
    <row r="14" spans="1:8" x14ac:dyDescent="0.25">
      <c r="A14" s="5">
        <v>46055</v>
      </c>
      <c r="B14" s="4" t="str">
        <f t="shared" si="0"/>
        <v>Feb</v>
      </c>
      <c r="C14" t="s">
        <v>4</v>
      </c>
      <c r="D14" t="s">
        <v>5</v>
      </c>
      <c r="E14" t="s">
        <v>6</v>
      </c>
      <c r="F14">
        <v>5</v>
      </c>
      <c r="G14">
        <v>700</v>
      </c>
      <c r="H14" s="3">
        <f t="shared" si="1"/>
        <v>3500</v>
      </c>
    </row>
    <row r="15" spans="1:8" x14ac:dyDescent="0.25">
      <c r="A15" s="5">
        <v>46057</v>
      </c>
      <c r="B15" s="4" t="str">
        <f t="shared" si="0"/>
        <v>Feb</v>
      </c>
      <c r="C15" t="s">
        <v>7</v>
      </c>
      <c r="D15" t="s">
        <v>8</v>
      </c>
      <c r="E15" t="s">
        <v>9</v>
      </c>
      <c r="F15">
        <v>3</v>
      </c>
      <c r="G15">
        <v>300</v>
      </c>
      <c r="H15" s="3">
        <f t="shared" si="1"/>
        <v>900</v>
      </c>
    </row>
    <row r="16" spans="1:8" x14ac:dyDescent="0.25">
      <c r="A16" s="5">
        <v>46060</v>
      </c>
      <c r="B16" s="4" t="str">
        <f t="shared" si="0"/>
        <v>Feb</v>
      </c>
      <c r="C16" t="s">
        <v>10</v>
      </c>
      <c r="D16" t="s">
        <v>11</v>
      </c>
      <c r="E16" t="s">
        <v>12</v>
      </c>
      <c r="F16">
        <v>10</v>
      </c>
      <c r="G16">
        <v>500</v>
      </c>
      <c r="H16" s="3">
        <f t="shared" si="1"/>
        <v>5000</v>
      </c>
    </row>
    <row r="17" spans="1:8" ht="15.75" x14ac:dyDescent="0.25">
      <c r="A17" s="6">
        <v>46063</v>
      </c>
      <c r="B17" s="4" t="str">
        <f t="shared" si="0"/>
        <v>Feb</v>
      </c>
      <c r="C17" s="2" t="s">
        <v>13</v>
      </c>
      <c r="D17" t="s">
        <v>14</v>
      </c>
      <c r="E17" t="s">
        <v>6</v>
      </c>
      <c r="F17">
        <v>4</v>
      </c>
      <c r="G17">
        <v>700</v>
      </c>
      <c r="H17" s="3">
        <f t="shared" si="1"/>
        <v>2800</v>
      </c>
    </row>
    <row r="18" spans="1:8" ht="15.75" x14ac:dyDescent="0.25">
      <c r="A18" s="6">
        <v>46066</v>
      </c>
      <c r="B18" s="4" t="str">
        <f t="shared" si="0"/>
        <v>Feb</v>
      </c>
      <c r="C18" s="2" t="s">
        <v>4</v>
      </c>
      <c r="D18" t="s">
        <v>5</v>
      </c>
      <c r="E18" t="s">
        <v>12</v>
      </c>
      <c r="F18">
        <v>7</v>
      </c>
      <c r="G18" s="7">
        <v>500</v>
      </c>
      <c r="H18" s="3">
        <f t="shared" si="1"/>
        <v>3500</v>
      </c>
    </row>
    <row r="19" spans="1:8" x14ac:dyDescent="0.25">
      <c r="A19" s="5">
        <v>46069</v>
      </c>
      <c r="B19" s="4" t="str">
        <f t="shared" si="0"/>
        <v>Feb</v>
      </c>
      <c r="C19" t="s">
        <v>7</v>
      </c>
      <c r="D19" t="s">
        <v>8</v>
      </c>
      <c r="E19" t="s">
        <v>6</v>
      </c>
      <c r="F19">
        <v>2</v>
      </c>
      <c r="G19" s="7">
        <v>700</v>
      </c>
      <c r="H19" s="3">
        <f t="shared" si="1"/>
        <v>1400</v>
      </c>
    </row>
    <row r="20" spans="1:8" x14ac:dyDescent="0.25">
      <c r="A20" s="5">
        <v>46072</v>
      </c>
      <c r="B20" s="4" t="str">
        <f t="shared" si="0"/>
        <v>Feb</v>
      </c>
      <c r="C20" t="s">
        <v>10</v>
      </c>
      <c r="D20" t="s">
        <v>11</v>
      </c>
      <c r="E20" t="s">
        <v>9</v>
      </c>
      <c r="F20">
        <v>8</v>
      </c>
      <c r="G20" s="7">
        <v>800</v>
      </c>
      <c r="H20" s="3">
        <f t="shared" si="1"/>
        <v>6400</v>
      </c>
    </row>
    <row r="21" spans="1:8" x14ac:dyDescent="0.25">
      <c r="A21" s="5">
        <v>46075</v>
      </c>
      <c r="B21" s="4" t="str">
        <f t="shared" si="0"/>
        <v>Feb</v>
      </c>
      <c r="C21" t="s">
        <v>13</v>
      </c>
      <c r="D21" t="s">
        <v>14</v>
      </c>
      <c r="E21" t="s">
        <v>12</v>
      </c>
      <c r="F21">
        <v>6</v>
      </c>
      <c r="G21" s="7">
        <v>500</v>
      </c>
      <c r="H21" s="3">
        <f t="shared" si="1"/>
        <v>3000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A0878-0054-46AC-82CA-10BCA404C1FC}">
  <dimension ref="A1"/>
  <sheetViews>
    <sheetView workbookViewId="0">
      <selection activeCell="J11" sqref="J1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 Salesperson analysis</vt:lpstr>
      <vt:lpstr> Product analysis</vt:lpstr>
      <vt:lpstr>Month analysis</vt:lpstr>
      <vt:lpstr>Sales Data</vt:lpstr>
      <vt:lpstr>Sales Performance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Musa Rahman</dc:creator>
  <cp:lastModifiedBy>Musa Rahman</cp:lastModifiedBy>
  <dcterms:created xsi:type="dcterms:W3CDTF">2026-03-12T20:24:45Z</dcterms:created>
  <dcterms:modified xsi:type="dcterms:W3CDTF">2026-03-12T21:46:52Z</dcterms:modified>
</cp:coreProperties>
</file>